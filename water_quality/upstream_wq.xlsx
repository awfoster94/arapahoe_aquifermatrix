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TERA\wqtoolkit\inverse_models\arap\water_quality\"/>
    </mc:Choice>
  </mc:AlternateContent>
  <xr:revisionPtr revIDLastSave="0" documentId="13_ncr:1_{5AF685A2-440F-45B3-A208-3A2665A4ABDF}" xr6:coauthVersionLast="47" xr6:coauthVersionMax="47" xr10:uidLastSave="{00000000-0000-0000-0000-000000000000}"/>
  <bookViews>
    <workbookView xWindow="14295" yWindow="0" windowWidth="14610" windowHeight="15585" xr2:uid="{60001AE6-4862-475E-8A55-7088EAEB4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21" i="1"/>
  <c r="G10" i="1"/>
  <c r="G5" i="1"/>
  <c r="G6" i="1"/>
  <c r="G7" i="1"/>
  <c r="G9" i="1"/>
  <c r="G11" i="1"/>
  <c r="G12" i="1"/>
  <c r="G13" i="1"/>
  <c r="G14" i="1"/>
  <c r="G15" i="1"/>
  <c r="G16" i="1"/>
  <c r="G17" i="1"/>
  <c r="G19" i="1"/>
  <c r="G20" i="1"/>
  <c r="G22" i="1"/>
  <c r="E4" i="1"/>
  <c r="G4" i="1" s="1"/>
  <c r="E18" i="1"/>
  <c r="G18" i="1" s="1"/>
  <c r="E9" i="1"/>
  <c r="E11" i="1"/>
  <c r="E10" i="1"/>
</calcChain>
</file>

<file path=xl/sharedStrings.xml><?xml version="1.0" encoding="utf-8"?>
<sst xmlns="http://schemas.openxmlformats.org/spreadsheetml/2006/main" count="74" uniqueCount="34">
  <si>
    <t>fid</t>
  </si>
  <si>
    <t>param</t>
  </si>
  <si>
    <t>temp</t>
  </si>
  <si>
    <t>pH</t>
  </si>
  <si>
    <t>O(0)</t>
  </si>
  <si>
    <t>Na</t>
  </si>
  <si>
    <t>ppm</t>
  </si>
  <si>
    <t>Ca</t>
  </si>
  <si>
    <t>Mg</t>
  </si>
  <si>
    <t>K</t>
  </si>
  <si>
    <t>Alkalinity</t>
  </si>
  <si>
    <t>S(6)</t>
  </si>
  <si>
    <t>Cl</t>
  </si>
  <si>
    <t>F</t>
  </si>
  <si>
    <t>Mn</t>
  </si>
  <si>
    <t>Ba</t>
  </si>
  <si>
    <t>Sr</t>
  </si>
  <si>
    <t>Fe</t>
  </si>
  <si>
    <t>As</t>
  </si>
  <si>
    <t>U</t>
  </si>
  <si>
    <t>P</t>
  </si>
  <si>
    <t>conc_unit_1</t>
  </si>
  <si>
    <t>con_unit_2</t>
  </si>
  <si>
    <t>unit_1</t>
  </si>
  <si>
    <t>c</t>
  </si>
  <si>
    <t>-</t>
  </si>
  <si>
    <t>ppm-caco3</t>
  </si>
  <si>
    <t>ppm-p</t>
  </si>
  <si>
    <t>molec_weight_gpmol</t>
  </si>
  <si>
    <t>unit_2</t>
  </si>
  <si>
    <t>molpkgw</t>
  </si>
  <si>
    <t>Al</t>
  </si>
  <si>
    <t>Si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</si>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</sst>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705F7-3E99-4C01-B40E-8CA27B0F9227}">
  <dimension ref="A1:G43"/>
  <sheetViews>
    <sheetView tabSelected="1" workbookViewId="0">
      <selection activeCell="C1" sqref="C1:G1048576"/>
    </sheetView>
  </sheetViews>
  <sheetFormatPr defaultRowHeight="15" x14ac:dyDescent="0.25"/>
  <cols>
    <col min="4" max="4" width="11.42578125" customWidth="1"/>
    <col min="5" max="5" width="19.7109375" customWidth="1"/>
    <col min="6" max="6" width="17.85546875" customWidth="1"/>
    <col min="7" max="7" width="12" bestFit="1" customWidth="1"/>
  </cols>
  <sheetData>
    <row r="1" spans="1:7" x14ac:dyDescent="0.25">
      <c r="A1" t="s">
        <v>0</v>
      </c>
      <c r="B1" t="s">
        <v>1</v>
      </c>
      <c r="C1" t="s">
        <v>23</v>
      </c>
      <c r="D1" t="s">
        <v>21</v>
      </c>
      <c r="E1" t="s">
        <v>28</v>
      </c>
      <c r="F1" t="s">
        <v>29</v>
      </c>
      <c r="G1" t="s">
        <v>22</v>
      </c>
    </row>
    <row r="2" spans="1:7" x14ac:dyDescent="0.25">
      <c r="A2">
        <v>0</v>
      </c>
      <c r="B2" t="s">
        <v>2</v>
      </c>
      <c r="C2" t="s">
        <v>24</v>
      </c>
      <c r="D2">
        <v>30.1</v>
      </c>
      <c r="E2" t="s">
        <v>25</v>
      </c>
      <c r="F2" t="s">
        <v>24</v>
      </c>
      <c r="G2" t="s">
        <v>24</v>
      </c>
    </row>
    <row r="3" spans="1:7" x14ac:dyDescent="0.25">
      <c r="A3">
        <v>1</v>
      </c>
      <c r="B3" t="s">
        <v>3</v>
      </c>
      <c r="C3" t="s">
        <v>25</v>
      </c>
      <c r="D3">
        <v>8.3000000000000007</v>
      </c>
      <c r="E3" t="s">
        <v>25</v>
      </c>
      <c r="F3" t="s">
        <v>25</v>
      </c>
      <c r="G3" t="s">
        <v>25</v>
      </c>
    </row>
    <row r="4" spans="1:7" x14ac:dyDescent="0.25">
      <c r="A4">
        <v>2</v>
      </c>
      <c r="B4" t="s">
        <v>4</v>
      </c>
      <c r="C4" t="s">
        <v>6</v>
      </c>
      <c r="D4">
        <v>0</v>
      </c>
      <c r="E4">
        <f>(2*15.999)</f>
        <v>31.998000000000001</v>
      </c>
      <c r="F4" t="s">
        <v>30</v>
      </c>
      <c r="G4">
        <f>D4/1000/E4</f>
        <v>0</v>
      </c>
    </row>
    <row r="5" spans="1:7" x14ac:dyDescent="0.25">
      <c r="A5">
        <v>3</v>
      </c>
      <c r="B5" t="s">
        <v>5</v>
      </c>
      <c r="C5" t="s">
        <v>6</v>
      </c>
      <c r="D5">
        <v>70.400000000000006</v>
      </c>
      <c r="E5">
        <v>22.989799999999999</v>
      </c>
      <c r="F5" t="s">
        <v>30</v>
      </c>
      <c r="G5">
        <f t="shared" ref="G5:G22" si="0">D5/1000/E5</f>
        <v>3.0622275965863127E-3</v>
      </c>
    </row>
    <row r="6" spans="1:7" x14ac:dyDescent="0.25">
      <c r="A6">
        <v>4</v>
      </c>
      <c r="B6" t="s">
        <v>7</v>
      </c>
      <c r="C6" t="s">
        <v>6</v>
      </c>
      <c r="D6">
        <v>2.33</v>
      </c>
      <c r="E6">
        <v>40.08</v>
      </c>
      <c r="F6" t="s">
        <v>30</v>
      </c>
      <c r="G6">
        <f t="shared" si="0"/>
        <v>5.8133732534930142E-5</v>
      </c>
    </row>
    <row r="7" spans="1:7" x14ac:dyDescent="0.25">
      <c r="A7">
        <v>5</v>
      </c>
      <c r="B7" t="s">
        <v>8</v>
      </c>
      <c r="C7" t="s">
        <v>6</v>
      </c>
      <c r="D7">
        <v>0.40799999999999997</v>
      </c>
      <c r="E7">
        <v>24.305</v>
      </c>
      <c r="F7" t="s">
        <v>30</v>
      </c>
      <c r="G7">
        <f t="shared" si="0"/>
        <v>1.6786669409586503E-5</v>
      </c>
    </row>
    <row r="8" spans="1:7" x14ac:dyDescent="0.25">
      <c r="A8">
        <v>6</v>
      </c>
      <c r="B8" t="s">
        <v>9</v>
      </c>
      <c r="C8" t="s">
        <v>6</v>
      </c>
      <c r="D8">
        <v>1.53</v>
      </c>
      <c r="E8">
        <v>39.098300000000002</v>
      </c>
      <c r="F8" t="s">
        <v>30</v>
      </c>
      <c r="G8">
        <f>D8/1000/E8</f>
        <v>3.9132136179833907E-5</v>
      </c>
    </row>
    <row r="9" spans="1:7" x14ac:dyDescent="0.25">
      <c r="A9">
        <v>7</v>
      </c>
      <c r="B9" t="s">
        <v>10</v>
      </c>
      <c r="C9" t="s">
        <v>26</v>
      </c>
      <c r="D9">
        <v>141</v>
      </c>
      <c r="E9">
        <f>(40.08*0.5)+((12.011+(3*15.999))*0.5)</f>
        <v>50.043999999999997</v>
      </c>
      <c r="F9" t="s">
        <v>30</v>
      </c>
      <c r="G9">
        <f t="shared" si="0"/>
        <v>2.8175205818879384E-3</v>
      </c>
    </row>
    <row r="10" spans="1:7" x14ac:dyDescent="0.25">
      <c r="A10">
        <v>8</v>
      </c>
      <c r="B10" t="s">
        <v>11</v>
      </c>
      <c r="C10" t="s">
        <v>6</v>
      </c>
      <c r="D10">
        <v>10.5</v>
      </c>
      <c r="E10">
        <f>32.99+(4*15.999)</f>
        <v>96.986000000000004</v>
      </c>
      <c r="F10" t="s">
        <v>30</v>
      </c>
      <c r="G10">
        <f>D10/1000/E10</f>
        <v>1.0826304827500876E-4</v>
      </c>
    </row>
    <row r="11" spans="1:7" x14ac:dyDescent="0.25">
      <c r="A11">
        <v>9</v>
      </c>
      <c r="B11" t="s">
        <v>12</v>
      </c>
      <c r="C11" t="s">
        <v>6</v>
      </c>
      <c r="D11">
        <v>1.64</v>
      </c>
      <c r="E11">
        <f>35.45</f>
        <v>35.450000000000003</v>
      </c>
      <c r="F11" t="s">
        <v>30</v>
      </c>
      <c r="G11">
        <f t="shared" si="0"/>
        <v>4.6262341325810998E-5</v>
      </c>
    </row>
    <row r="12" spans="1:7" x14ac:dyDescent="0.25">
      <c r="A12">
        <v>10</v>
      </c>
      <c r="B12" t="s">
        <v>13</v>
      </c>
      <c r="C12" t="s">
        <v>6</v>
      </c>
      <c r="D12">
        <v>1.63</v>
      </c>
      <c r="E12">
        <v>18.9984</v>
      </c>
      <c r="F12" t="s">
        <v>30</v>
      </c>
      <c r="G12">
        <f t="shared" si="0"/>
        <v>8.5796698669361626E-5</v>
      </c>
    </row>
    <row r="13" spans="1:7" x14ac:dyDescent="0.25">
      <c r="A13">
        <v>11</v>
      </c>
      <c r="B13" t="s">
        <v>14</v>
      </c>
      <c r="C13" t="s">
        <v>6</v>
      </c>
      <c r="D13">
        <v>1.09E-2</v>
      </c>
      <c r="E13">
        <v>54.938000000000002</v>
      </c>
      <c r="F13" t="s">
        <v>30</v>
      </c>
      <c r="G13">
        <f t="shared" si="0"/>
        <v>1.9840547526302378E-7</v>
      </c>
    </row>
    <row r="14" spans="1:7" x14ac:dyDescent="0.25">
      <c r="A14">
        <v>12</v>
      </c>
      <c r="B14" t="s">
        <v>15</v>
      </c>
      <c r="C14" t="s">
        <v>6</v>
      </c>
      <c r="D14">
        <v>3.6600000000000001E-2</v>
      </c>
      <c r="E14">
        <v>137.327</v>
      </c>
      <c r="F14" t="s">
        <v>30</v>
      </c>
      <c r="G14">
        <f t="shared" si="0"/>
        <v>2.6651714520815284E-7</v>
      </c>
    </row>
    <row r="15" spans="1:7" x14ac:dyDescent="0.25">
      <c r="A15">
        <v>13</v>
      </c>
      <c r="B15" t="s">
        <v>16</v>
      </c>
      <c r="C15" t="s">
        <v>6</v>
      </c>
      <c r="D15">
        <v>4.5100000000000001E-2</v>
      </c>
      <c r="E15">
        <v>87.62</v>
      </c>
      <c r="F15" t="s">
        <v>30</v>
      </c>
      <c r="G15">
        <f t="shared" si="0"/>
        <v>5.1472266605797758E-7</v>
      </c>
    </row>
    <row r="16" spans="1:7" x14ac:dyDescent="0.25">
      <c r="A16">
        <v>14</v>
      </c>
      <c r="B16" t="s">
        <v>17</v>
      </c>
      <c r="C16" t="s">
        <v>6</v>
      </c>
      <c r="D16">
        <v>2.63E-2</v>
      </c>
      <c r="E16">
        <v>55.847000000000001</v>
      </c>
      <c r="F16" t="s">
        <v>30</v>
      </c>
      <c r="G16">
        <f t="shared" si="0"/>
        <v>4.7092950382294481E-7</v>
      </c>
    </row>
    <row r="17" spans="1:7" x14ac:dyDescent="0.25">
      <c r="A17">
        <v>15</v>
      </c>
      <c r="B17" t="s">
        <v>31</v>
      </c>
      <c r="C17" t="s">
        <v>6</v>
      </c>
      <c r="D17">
        <v>2E-3</v>
      </c>
      <c r="E17">
        <v>26.981999999999999</v>
      </c>
      <c r="F17" t="s">
        <v>30</v>
      </c>
      <c r="G17">
        <f t="shared" si="0"/>
        <v>7.4123489733896671E-8</v>
      </c>
    </row>
    <row r="18" spans="1:7" x14ac:dyDescent="0.25">
      <c r="A18">
        <v>16</v>
      </c>
      <c r="B18" t="s">
        <v>32</v>
      </c>
      <c r="C18" t="s">
        <v>6</v>
      </c>
      <c r="D18">
        <v>13.9</v>
      </c>
      <c r="E18">
        <f>28.084+(15.999*4)</f>
        <v>92.08</v>
      </c>
      <c r="F18" t="s">
        <v>30</v>
      </c>
      <c r="G18">
        <f t="shared" si="0"/>
        <v>1.5095569070373589E-4</v>
      </c>
    </row>
    <row r="19" spans="1:7" x14ac:dyDescent="0.25">
      <c r="A19">
        <v>17</v>
      </c>
      <c r="B19" t="s">
        <v>18</v>
      </c>
      <c r="C19" t="s">
        <v>6</v>
      </c>
      <c r="D19" s="1">
        <v>5.99999999999999E-5</v>
      </c>
      <c r="E19">
        <v>74.921599999999998</v>
      </c>
      <c r="F19" t="s">
        <v>30</v>
      </c>
      <c r="G19">
        <f t="shared" si="0"/>
        <v>8.0083714175885065E-10</v>
      </c>
    </row>
    <row r="20" spans="1:7" x14ac:dyDescent="0.25">
      <c r="A20">
        <v>18</v>
      </c>
      <c r="B20" t="s">
        <v>19</v>
      </c>
      <c r="C20" t="s">
        <v>6</v>
      </c>
      <c r="D20" s="1">
        <v>2.0000000000000002E-5</v>
      </c>
      <c r="E20">
        <v>238.02889999999999</v>
      </c>
      <c r="F20" t="s">
        <v>30</v>
      </c>
      <c r="G20">
        <f t="shared" si="0"/>
        <v>8.4023410602662121E-11</v>
      </c>
    </row>
    <row r="21" spans="1:7" x14ac:dyDescent="0.25">
      <c r="A21">
        <v>19</v>
      </c>
      <c r="B21" t="s">
        <v>33</v>
      </c>
      <c r="C21" t="s">
        <v>6</v>
      </c>
      <c r="D21" s="1">
        <v>2.9999999999999899E-5</v>
      </c>
      <c r="E21">
        <v>51.996000000000002</v>
      </c>
      <c r="F21" t="s">
        <v>30</v>
      </c>
      <c r="G21">
        <f t="shared" si="0"/>
        <v>5.7696745903530845E-10</v>
      </c>
    </row>
    <row r="22" spans="1:7" x14ac:dyDescent="0.25">
      <c r="A22">
        <v>20</v>
      </c>
      <c r="B22" t="s">
        <v>20</v>
      </c>
      <c r="C22" t="s">
        <v>27</v>
      </c>
      <c r="D22">
        <v>3.5999999999999997E-2</v>
      </c>
      <c r="E22">
        <v>30.973800000000001</v>
      </c>
      <c r="F22" t="s">
        <v>30</v>
      </c>
      <c r="G22">
        <f t="shared" si="0"/>
        <v>1.1622726304166745E-6</v>
      </c>
    </row>
    <row r="42" spans="4:4" x14ac:dyDescent="0.25">
      <c r="D42" s="1"/>
    </row>
    <row r="43" spans="4:4" x14ac:dyDescent="0.25">
      <c r="D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Foster</dc:creator>
  <cp:lastModifiedBy>Allan Foster</cp:lastModifiedBy>
  <dcterms:created xsi:type="dcterms:W3CDTF">2025-07-19T01:41:32Z</dcterms:created>
  <dcterms:modified xsi:type="dcterms:W3CDTF">2025-08-09T16:58:30Z</dcterms:modified>
</cp:coreProperties>
</file>